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fubono365-my.sharepoint.com/personal/ian_leong_fubon_com/Documents/桌面/"/>
    </mc:Choice>
  </mc:AlternateContent>
  <xr:revisionPtr revIDLastSave="0" documentId="8_{C343A104-D00E-4D0B-82C7-721C6179B57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報名注意事項" sheetId="2" r:id="rId1"/>
    <sheet name="富邦證券國內報名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" l="1"/>
  <c r="U27" i="1"/>
  <c r="W27" i="1" s="1"/>
  <c r="U26" i="1"/>
  <c r="W26" i="1" s="1"/>
  <c r="U25" i="1"/>
  <c r="W25" i="1" s="1"/>
  <c r="U24" i="1"/>
  <c r="W24" i="1" s="1"/>
  <c r="U23" i="1"/>
  <c r="W23" i="1" s="1"/>
  <c r="U22" i="1"/>
  <c r="W22" i="1" s="1"/>
  <c r="U21" i="1"/>
  <c r="W21" i="1" s="1"/>
  <c r="U20" i="1"/>
  <c r="W20" i="1" s="1"/>
  <c r="U19" i="1"/>
  <c r="W19" i="1" s="1"/>
  <c r="U18" i="1"/>
  <c r="W18" i="1" s="1"/>
  <c r="U10" i="1"/>
  <c r="U11" i="1"/>
  <c r="U12" i="1"/>
  <c r="U13" i="1"/>
  <c r="U14" i="1"/>
  <c r="U15" i="1"/>
  <c r="U16" i="1"/>
  <c r="U17" i="1"/>
  <c r="U9" i="1" l="1"/>
  <c r="W8" i="1"/>
  <c r="W17" i="1" l="1"/>
  <c r="W16" i="1"/>
  <c r="W15" i="1"/>
  <c r="W14" i="1"/>
  <c r="W13" i="1"/>
  <c r="W12" i="1"/>
  <c r="W11" i="1"/>
  <c r="W10" i="1"/>
  <c r="W9" i="1"/>
</calcChain>
</file>

<file path=xl/sharedStrings.xml><?xml version="1.0" encoding="utf-8"?>
<sst xmlns="http://schemas.openxmlformats.org/spreadsheetml/2006/main" count="63" uniqueCount="63">
  <si>
    <t>3</t>
  </si>
  <si>
    <t>4</t>
  </si>
  <si>
    <t>5</t>
  </si>
  <si>
    <t>6</t>
  </si>
  <si>
    <t>7</t>
  </si>
  <si>
    <t>8</t>
  </si>
  <si>
    <t>9</t>
  </si>
  <si>
    <t>10</t>
  </si>
  <si>
    <t>序號</t>
    <phoneticPr fontId="4" type="noConversion"/>
  </si>
  <si>
    <t>特殊
餐食</t>
    <phoneticPr fontId="4" type="noConversion"/>
  </si>
  <si>
    <t>票券小計</t>
    <phoneticPr fontId="1" type="noConversion"/>
  </si>
  <si>
    <t>團費</t>
    <phoneticPr fontId="1" type="noConversion"/>
  </si>
  <si>
    <t>每人應付總費用</t>
    <phoneticPr fontId="1" type="noConversion"/>
  </si>
  <si>
    <t>備註</t>
    <phoneticPr fontId="4" type="noConversion"/>
  </si>
  <si>
    <t>2</t>
    <phoneticPr fontId="1" type="noConversion"/>
  </si>
  <si>
    <t>※注意事項</t>
    <phoneticPr fontId="1" type="noConversion"/>
  </si>
  <si>
    <t>一、報名完成後,雄獅服務人員會於報名截止後，發信確認行程是否成團。</t>
    <phoneticPr fontId="1" type="noConversion"/>
  </si>
  <si>
    <t>二、報名時間：報名額滿立即截止，敬請把握機會喔！</t>
    <phoneticPr fontId="1" type="noConversion"/>
  </si>
  <si>
    <t>三、行程成團後，會有專人與您確認訂單內容，屆時再付款費用差額即可。</t>
    <phoneticPr fontId="1" type="noConversion"/>
  </si>
  <si>
    <t>四、出發地點皆已該區車站為主。非出發地的同仁依分公司為接駁點，僅限行程順向之分公司）</t>
    <phoneticPr fontId="1" type="noConversion"/>
  </si>
  <si>
    <t>※如高雄出發彰化一日行程。以高雄車站為集合地，台南嘉義雲林彰化同仁可以填寫分公司為接駁點，其他地區需自行前往最近集合地點。實際接駁時間與地點以成團通知為主</t>
    <phoneticPr fontId="1" type="noConversion"/>
  </si>
  <si>
    <t>五、報名行程一旦確認成團後，若取消需依照定型化旅遊契約支付取消費用，所以請同仁務必審慎報名。</t>
    <phoneticPr fontId="1" type="noConversion"/>
  </si>
  <si>
    <t>※雄獅服務人員：</t>
    <phoneticPr fontId="1" type="noConversion"/>
  </si>
  <si>
    <t>報名資料請mail給雄獅服務人員,為確保資料完整性,請勿口頭電話報名；報名遞補皆以來信時間順序為主</t>
    <phoneticPr fontId="1" type="noConversion"/>
  </si>
  <si>
    <t>※票券有時會有缺貨狀況，如有缺貨，請耐心等待。如不及在出團當日提供，補貨後會再寄出給同仁。</t>
    <phoneticPr fontId="1" type="noConversion"/>
  </si>
  <si>
    <t>國內_團體</t>
    <phoneticPr fontId="1" type="noConversion"/>
  </si>
  <si>
    <t>原燒日式燒肉商品卡
(面額500元)</t>
    <phoneticPr fontId="1" type="noConversion"/>
  </si>
  <si>
    <t>品田牧場套餐禮券</t>
    <phoneticPr fontId="1" type="noConversion"/>
  </si>
  <si>
    <t>聚火鍋商品卡</t>
    <phoneticPr fontId="1" type="noConversion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</si>
  <si>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</si>
  <si>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</si>
  <si>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</si>
  <si>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</si>
  <si>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</si>
  <si>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</si>
  <si>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</si>
  <si>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</si>
  <si>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</si>
  <si>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</si>
  <si>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r>
      <t xml:space="preserve">員編
</t>
    </r>
    <r>
      <rPr>
        <b/>
        <sz val="12"/>
        <color rgb="FFFF0000"/>
        <rFont val="微軟正黑體"/>
        <family val="2"/>
        <charset val="136"/>
      </rPr>
      <t>(必填)</t>
    </r>
    <phoneticPr fontId="4" type="noConversion"/>
  </si>
  <si>
    <r>
      <t xml:space="preserve">姓名
</t>
    </r>
    <r>
      <rPr>
        <b/>
        <sz val="12"/>
        <color indexed="10"/>
        <rFont val="微軟正黑體"/>
        <family val="2"/>
        <charset val="136"/>
      </rPr>
      <t>(必填)</t>
    </r>
    <phoneticPr fontId="4" type="noConversion"/>
  </si>
  <si>
    <r>
      <rPr>
        <b/>
        <sz val="12"/>
        <color rgb="FF0000FF"/>
        <rFont val="微軟正黑體"/>
        <family val="2"/>
        <charset val="136"/>
      </rPr>
      <t>本國人</t>
    </r>
    <r>
      <rPr>
        <b/>
        <sz val="12"/>
        <color rgb="FFFF0000"/>
        <rFont val="微軟正黑體"/>
        <family val="2"/>
        <charset val="136"/>
      </rPr>
      <t>(必填)</t>
    </r>
    <r>
      <rPr>
        <b/>
        <sz val="12"/>
        <color indexed="12"/>
        <rFont val="微軟正黑體"/>
        <family val="2"/>
        <charset val="136"/>
      </rPr>
      <t xml:space="preserve">
身分證字號</t>
    </r>
    <phoneticPr fontId="4" type="noConversion"/>
  </si>
  <si>
    <r>
      <t>生日</t>
    </r>
    <r>
      <rPr>
        <b/>
        <sz val="12"/>
        <color indexed="10"/>
        <rFont val="微軟正黑體"/>
        <family val="2"/>
        <charset val="136"/>
      </rPr>
      <t>(必填)</t>
    </r>
    <r>
      <rPr>
        <b/>
        <sz val="12"/>
        <color indexed="12"/>
        <rFont val="微軟正黑體"/>
        <family val="2"/>
        <charset val="136"/>
      </rPr>
      <t xml:space="preserve">
yyyymmdd</t>
    </r>
    <phoneticPr fontId="4" type="noConversion"/>
  </si>
  <si>
    <r>
      <t xml:space="preserve">手機
</t>
    </r>
    <r>
      <rPr>
        <b/>
        <sz val="12"/>
        <color rgb="FFFF0000"/>
        <rFont val="微軟正黑體"/>
        <family val="2"/>
        <charset val="136"/>
      </rPr>
      <t>(必填)</t>
    </r>
    <phoneticPr fontId="4" type="noConversion"/>
  </si>
  <si>
    <r>
      <t xml:space="preserve">信箱
</t>
    </r>
    <r>
      <rPr>
        <b/>
        <sz val="12"/>
        <color rgb="FFFF0000"/>
        <rFont val="微軟正黑體"/>
        <family val="2"/>
        <charset val="136"/>
      </rPr>
      <t>(請填公司信箱)</t>
    </r>
    <phoneticPr fontId="4" type="noConversion"/>
  </si>
  <si>
    <r>
      <t xml:space="preserve">單位
(處/部(分公司)/科)
</t>
    </r>
    <r>
      <rPr>
        <b/>
        <sz val="12"/>
        <color rgb="FFFF0000"/>
        <rFont val="微軟正黑體"/>
        <family val="2"/>
        <charset val="136"/>
      </rPr>
      <t>眷屬請註記眷屬</t>
    </r>
    <phoneticPr fontId="4" type="noConversion"/>
  </si>
  <si>
    <t>文翊玲小姐　(02)-87932670；E-MAIL：lilianwen@liontravel.com</t>
    <phoneticPr fontId="1" type="noConversion"/>
  </si>
  <si>
    <t>薰衣草森林門票</t>
    <phoneticPr fontId="1" type="noConversion"/>
  </si>
  <si>
    <t>花蓮海洋公園門票</t>
    <phoneticPr fontId="1" type="noConversion"/>
  </si>
  <si>
    <t>威秀電影票
(效期20270131)</t>
    <phoneticPr fontId="1" type="noConversion"/>
  </si>
  <si>
    <t>新竹北埔綠世界門票
(效期20260715)</t>
    <phoneticPr fontId="1" type="noConversion"/>
  </si>
  <si>
    <t>義大世界1 大1小親子套票
(效期20261208)</t>
    <phoneticPr fontId="1" type="noConversion"/>
  </si>
  <si>
    <t>義大世界全票
(效期20261103)</t>
    <phoneticPr fontId="1" type="noConversion"/>
  </si>
  <si>
    <t>(新)陶板屋套餐禮券</t>
    <phoneticPr fontId="1" type="noConversion"/>
  </si>
  <si>
    <t>王品牛排套餐禮券</t>
    <phoneticPr fontId="1" type="noConversion"/>
  </si>
  <si>
    <r>
      <rPr>
        <b/>
        <sz val="11"/>
        <color theme="1"/>
        <rFont val="微軟正黑體"/>
        <family val="2"/>
        <charset val="136"/>
      </rPr>
      <t xml:space="preserve">報名後取消規則：
</t>
    </r>
    <r>
      <rPr>
        <sz val="11"/>
        <color theme="1"/>
        <rFont val="微軟正黑體"/>
        <family val="2"/>
        <charset val="136"/>
      </rPr>
      <t xml:space="preserve">一、 通知於旅遊活動開始前第三十一日以前到達者，賠償旅遊費用百分之十。 
二、 通知於旅遊活動開始前第二十一日至第三十日以內到達者，賠償旅遊費用百分之二十。 
三、 通知於旅遊活動開始前第二日至第二十日以內以內到達者，賠償旅遊費用百分之三十。 
四、 通知於旅遊活動開始前一日到達者，賠償旅遊費用百分之五十。 
五、 通知於旅遊活動開始日或開始後到達或未通知不參加者，賠償旅遊費用百分之一百。
</t>
    </r>
    <r>
      <rPr>
        <b/>
        <sz val="11"/>
        <color theme="1"/>
        <rFont val="微軟正黑體"/>
        <family val="2"/>
        <charset val="136"/>
      </rPr>
      <t xml:space="preserve">補助方式：
</t>
    </r>
    <r>
      <rPr>
        <sz val="11"/>
        <color theme="1"/>
        <rFont val="微軟正黑體"/>
        <family val="2"/>
        <charset val="136"/>
      </rPr>
      <t>1. 每人補助金額8000元</t>
    </r>
    <r>
      <rPr>
        <sz val="11"/>
        <color rgb="FFFF0000"/>
        <rFont val="微軟正黑體"/>
        <family val="2"/>
        <charset val="136"/>
      </rPr>
      <t>(試用期未滿4000元)</t>
    </r>
    <r>
      <rPr>
        <sz val="11"/>
        <color theme="1"/>
        <rFont val="微軟正黑體"/>
        <family val="2"/>
        <charset val="136"/>
      </rPr>
      <t>。（補助款依富邦證券總公司公告為主）
2. 每人補助金額僅可補助單一行程。
※ 如參加宜蘭一日遊，補助款僅補助宜蘭一日行程，不會再補助逍遙自由行或其他一日遊
3. 參加所選行程，補助款若有餘額，可攜帶眷屬親友同行或選擇加購優惠票券。
超過補助款金額需自行補齊差額，差額僅接受匯款、轉帳方式收款。
4. 參加雄獅線上報名行程，雄獅會代為協助請款補助款，省事又方便！
5.</t>
    </r>
    <r>
      <rPr>
        <sz val="11"/>
        <color rgb="FFFF0000"/>
        <rFont val="微軟正黑體"/>
        <family val="2"/>
        <charset val="136"/>
      </rPr>
      <t xml:space="preserve"> 於行程當日若無故未到，申請票券不可領取。 </t>
    </r>
    <r>
      <rPr>
        <sz val="11"/>
        <color theme="1"/>
        <rFont val="微軟正黑體"/>
        <family val="2"/>
        <charset val="136"/>
      </rPr>
      <t xml:space="preserve">
6. 申請的票券統一於行程結束後寄出。</t>
    </r>
    <phoneticPr fontId="1" type="noConversion"/>
  </si>
  <si>
    <t>數據科學部</t>
    <phoneticPr fontId="1" type="noConversion"/>
  </si>
  <si>
    <r>
      <t xml:space="preserve">2026/報名表-- </t>
    </r>
    <r>
      <rPr>
        <b/>
        <sz val="12"/>
        <color theme="4" tint="-0.249977111117893"/>
        <rFont val="微軟正黑體"/>
        <family val="2"/>
        <charset val="136"/>
      </rPr>
      <t>滿月森林遊樂區 x 三峽老街導覽 藍染  2026/6/6</t>
    </r>
    <r>
      <rPr>
        <b/>
        <u/>
        <sz val="12"/>
        <color theme="1"/>
        <rFont val="微軟正黑體"/>
        <family val="2"/>
        <charset val="136"/>
      </rPr>
      <t xml:space="preserve">    </t>
    </r>
    <r>
      <rPr>
        <b/>
        <sz val="12"/>
        <color rgb="FFFF0000"/>
        <rFont val="微軟正黑體"/>
        <family val="2"/>
        <charset val="136"/>
      </rPr>
      <t>請填 可出發日期 &amp; 行程名稱，依最早成團日期出團</t>
    </r>
    <phoneticPr fontId="1" type="noConversion"/>
  </si>
  <si>
    <t>010903</t>
    <phoneticPr fontId="1" type="noConversion"/>
  </si>
  <si>
    <t>梁溢彥</t>
    <phoneticPr fontId="1" type="noConversion"/>
  </si>
  <si>
    <t>O880002060</t>
    <phoneticPr fontId="1" type="noConversion"/>
  </si>
  <si>
    <t>0989851023</t>
    <phoneticPr fontId="1" type="noConversion"/>
  </si>
  <si>
    <t>ian.leong@fubon.com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</si>
</sst>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&quot;$&quot;#,##0"/>
    <numFmt numFmtId="178" formatCode="#,##0_);[Red]\(#,##0\)"/>
    <numFmt numFmtId="179" formatCode="#,###&quot;元/張&quot;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u/>
      <sz val="12"/>
      <color theme="10"/>
      <name val="新細明體"/>
      <family val="1"/>
      <charset val="136"/>
    </font>
    <font>
      <b/>
      <sz val="12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rgb="FFFF0000"/>
      <name val="新細明體"/>
      <family val="2"/>
      <charset val="136"/>
      <scheme val="minor"/>
    </font>
    <font>
      <b/>
      <sz val="12"/>
      <color rgb="FF0070C0"/>
      <name val="微軟正黑體"/>
      <family val="2"/>
      <charset val="136"/>
    </font>
    <font>
      <b/>
      <sz val="12"/>
      <color rgb="FF0000FF"/>
      <name val="Microsoft JhengHei"/>
      <family val="2"/>
      <charset val="136"/>
    </font>
    <font>
      <b/>
      <sz val="12"/>
      <color rgb="FF0000FF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b/>
      <sz val="12"/>
      <color indexed="12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b/>
      <sz val="12"/>
      <color rgb="FFFF0000"/>
      <name val="Microsoft JhengHei"/>
      <family val="2"/>
      <charset val="136"/>
    </font>
    <font>
      <sz val="12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4" tint="-0.249977111117893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/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9" fillId="4" borderId="0" xfId="0" applyFont="1" applyFill="1">
      <alignment vertical="center"/>
    </xf>
    <xf numFmtId="0" fontId="9" fillId="0" borderId="0" xfId="0" applyFont="1">
      <alignment vertical="center"/>
    </xf>
    <xf numFmtId="177" fontId="9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178" fontId="20" fillId="2" borderId="3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1" fillId="0" borderId="1" xfId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8" fontId="20" fillId="2" borderId="1" xfId="0" applyNumberFormat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49" fontId="5" fillId="2" borderId="1" xfId="0" quotePrefix="1" applyNumberFormat="1" applyFont="1" applyFill="1" applyBorder="1">
      <alignment vertical="center"/>
    </xf>
    <xf numFmtId="0" fontId="6" fillId="2" borderId="1" xfId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0" xfId="0" applyFont="1" applyFill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0" fontId="5" fillId="2" borderId="12" xfId="0" quotePrefix="1" applyFont="1" applyFill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/>
    <xf numFmtId="49" fontId="5" fillId="2" borderId="4" xfId="0" quotePrefix="1" applyNumberFormat="1" applyFont="1" applyFill="1" applyBorder="1">
      <alignment vertical="center"/>
    </xf>
    <xf numFmtId="0" fontId="6" fillId="2" borderId="4" xfId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178" fontId="20" fillId="2" borderId="4" xfId="0" applyNumberFormat="1" applyFont="1" applyFill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79" fontId="19" fillId="5" borderId="4" xfId="0" applyNumberFormat="1" applyFont="1" applyFill="1" applyBorder="1" applyAlignment="1">
      <alignment horizontal="center" vertical="center" wrapText="1"/>
    </xf>
    <xf numFmtId="49" fontId="20" fillId="0" borderId="3" xfId="0" quotePrefix="1" applyNumberFormat="1" applyFont="1" applyBorder="1" applyAlignment="1">
      <alignment horizontal="center" vertical="center"/>
    </xf>
    <xf numFmtId="0" fontId="6" fillId="0" borderId="3" xfId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177" fontId="17" fillId="0" borderId="1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17" fillId="2" borderId="2" xfId="0" applyNumberFormat="1" applyFont="1" applyFill="1" applyBorder="1" applyAlignment="1">
      <alignment horizontal="center" vertical="center" wrapText="1"/>
    </xf>
    <xf numFmtId="176" fontId="17" fillId="2" borderId="4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an.leong@fub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opLeftCell="A2" zoomScale="145" zoomScaleNormal="145" workbookViewId="0">
      <selection activeCell="A8" sqref="A8:AE21"/>
    </sheetView>
  </sheetViews>
  <sheetFormatPr defaultRowHeight="17"/>
  <sheetData>
    <row r="1" spans="1:32" s="2" customFormat="1" ht="14.5">
      <c r="A1" s="77" t="s">
        <v>15</v>
      </c>
      <c r="B1" s="77"/>
      <c r="C1" s="77"/>
      <c r="D1" s="7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8"/>
    </row>
    <row r="2" spans="1:32" s="2" customFormat="1" ht="14.5">
      <c r="A2" s="78" t="s">
        <v>16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8"/>
    </row>
    <row r="3" spans="1:32" s="2" customFormat="1" ht="14.5">
      <c r="A3" s="9" t="s">
        <v>17</v>
      </c>
      <c r="B3" s="9"/>
      <c r="C3" s="9"/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8"/>
    </row>
    <row r="4" spans="1:32" s="2" customFormat="1" ht="14.5">
      <c r="A4" s="78" t="s">
        <v>18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8"/>
    </row>
    <row r="5" spans="1:32" s="2" customFormat="1" ht="14.5">
      <c r="A5" s="78" t="s">
        <v>19</v>
      </c>
      <c r="B5" s="78"/>
      <c r="C5" s="78"/>
      <c r="D5" s="78"/>
      <c r="E5" s="78"/>
      <c r="F5" s="78"/>
      <c r="G5" s="78"/>
      <c r="H5" s="78"/>
      <c r="I5" s="78"/>
      <c r="J5" s="7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8"/>
    </row>
    <row r="6" spans="1:32" s="2" customFormat="1" ht="14.5">
      <c r="A6" s="78" t="s">
        <v>20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8"/>
    </row>
    <row r="7" spans="1:32" s="2" customFormat="1" ht="14.5">
      <c r="A7" s="1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8"/>
    </row>
    <row r="8" spans="1:32" s="2" customFormat="1" ht="14.5">
      <c r="A8" s="76" t="s">
        <v>55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8"/>
    </row>
    <row r="9" spans="1:32" s="2" customFormat="1" ht="14.5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8"/>
    </row>
    <row r="10" spans="1:32" s="2" customFormat="1" ht="14.5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8"/>
    </row>
    <row r="11" spans="1:32" s="2" customFormat="1" ht="14.5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8"/>
    </row>
    <row r="12" spans="1:32" s="2" customFormat="1" ht="14.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8"/>
    </row>
    <row r="13" spans="1:32" s="2" customFormat="1" ht="14.5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8"/>
    </row>
    <row r="14" spans="1:32" s="2" customFormat="1" ht="14.5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8"/>
    </row>
    <row r="15" spans="1:32" s="2" customFormat="1" ht="14.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8"/>
    </row>
    <row r="16" spans="1:32" s="2" customFormat="1" ht="14.5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8"/>
    </row>
    <row r="17" spans="1:32" s="2" customFormat="1" ht="14.5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8"/>
    </row>
    <row r="18" spans="1:32" s="2" customFormat="1" ht="14.5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8"/>
    </row>
    <row r="19" spans="1:32" s="2" customFormat="1" ht="14.5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8"/>
    </row>
    <row r="20" spans="1:32" s="2" customFormat="1" ht="14.5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8"/>
    </row>
    <row r="21" spans="1:32" s="12" customFormat="1" ht="27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11"/>
    </row>
  </sheetData>
  <mergeCells count="6">
    <mergeCell ref="A8:AE21"/>
    <mergeCell ref="A1:D1"/>
    <mergeCell ref="A2:AE2"/>
    <mergeCell ref="A4:AE4"/>
    <mergeCell ref="A5:J5"/>
    <mergeCell ref="A6:Q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7"/>
  <sheetViews>
    <sheetView tabSelected="1" topLeftCell="L1" zoomScale="72" zoomScaleNormal="72" workbookViewId="0">
      <selection activeCell="L10" sqref="L10"/>
    </sheetView>
  </sheetViews>
  <sheetFormatPr defaultColWidth="9" defaultRowHeight="17"/>
  <cols>
    <col min="1" max="1" width="6.26953125" style="20" bestFit="1" customWidth="1"/>
    <col min="2" max="2" width="22.08984375" style="20" customWidth="1"/>
    <col min="3" max="7" width="20.6328125" customWidth="1"/>
    <col min="8" max="8" width="20.6328125" style="20" customWidth="1"/>
    <col min="9" max="9" width="6.26953125" bestFit="1" customWidth="1"/>
    <col min="10" max="10" width="28.6328125" customWidth="1"/>
    <col min="11" max="11" width="22.08984375" bestFit="1" customWidth="1"/>
    <col min="12" max="13" width="20.26953125" bestFit="1" customWidth="1"/>
    <col min="14" max="14" width="20.26953125" customWidth="1"/>
    <col min="15" max="15" width="19.08984375" bestFit="1" customWidth="1"/>
    <col min="16" max="18" width="20.26953125" customWidth="1"/>
    <col min="19" max="19" width="21.90625" customWidth="1"/>
    <col min="20" max="20" width="20.26953125" customWidth="1"/>
    <col min="21" max="21" width="10.6328125" bestFit="1" customWidth="1"/>
    <col min="22" max="22" width="11.453125" customWidth="1"/>
    <col min="23" max="23" width="12.90625" bestFit="1" customWidth="1"/>
    <col min="24" max="24" width="6.26953125" bestFit="1" customWidth="1"/>
    <col min="25" max="25" width="16.36328125" customWidth="1"/>
    <col min="26" max="28" width="10.453125" customWidth="1"/>
    <col min="29" max="29" width="14.08984375" customWidth="1"/>
    <col min="30" max="30" width="9" style="16"/>
  </cols>
  <sheetData>
    <row r="1" spans="1:41" ht="20.149999999999999" customHeight="1" thickBot="1">
      <c r="A1" s="64" t="s">
        <v>22</v>
      </c>
      <c r="B1" s="64"/>
      <c r="C1" s="64"/>
      <c r="D1" s="64"/>
      <c r="E1" s="14"/>
      <c r="F1" s="14"/>
      <c r="G1" s="14"/>
      <c r="H1" s="1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6"/>
    </row>
    <row r="2" spans="1:41" ht="30" customHeight="1" thickBot="1">
      <c r="A2" s="17"/>
      <c r="B2" s="18" t="s">
        <v>25</v>
      </c>
      <c r="C2" s="66" t="s">
        <v>46</v>
      </c>
      <c r="D2" s="67"/>
      <c r="E2" s="67"/>
      <c r="F2" s="67"/>
      <c r="G2" s="67"/>
      <c r="H2" s="67"/>
      <c r="I2" s="67"/>
      <c r="J2" s="67"/>
      <c r="K2" s="67"/>
      <c r="L2" s="68"/>
      <c r="M2" s="15"/>
      <c r="N2" s="15"/>
      <c r="O2" s="15"/>
      <c r="P2" s="15"/>
      <c r="Q2" s="15"/>
      <c r="R2" s="15"/>
      <c r="S2" s="15"/>
      <c r="T2" s="15"/>
      <c r="U2" s="13"/>
      <c r="V2" s="13"/>
      <c r="W2" s="13"/>
      <c r="X2" s="13"/>
      <c r="Y2" s="13"/>
      <c r="Z2" s="13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6"/>
    </row>
    <row r="3" spans="1:41" ht="30" customHeight="1">
      <c r="A3" s="17"/>
      <c r="B3" s="65" t="s">
        <v>23</v>
      </c>
      <c r="C3" s="65"/>
      <c r="D3" s="65"/>
      <c r="E3" s="65"/>
      <c r="F3" s="65"/>
      <c r="G3" s="65"/>
      <c r="H3" s="65"/>
      <c r="I3" s="65"/>
      <c r="J3" s="6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9"/>
      <c r="AO3" s="16"/>
    </row>
    <row r="4" spans="1:41" ht="25.75" customHeight="1"/>
    <row r="5" spans="1:41" ht="39.75" customHeight="1" thickBot="1">
      <c r="A5" s="73" t="s">
        <v>57</v>
      </c>
      <c r="B5" s="73"/>
      <c r="C5" s="73"/>
      <c r="D5" s="73"/>
      <c r="E5" s="73"/>
      <c r="F5" s="73"/>
      <c r="G5" s="73"/>
      <c r="H5" s="73"/>
      <c r="I5" s="14"/>
      <c r="J5" s="21" t="s">
        <v>24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/>
      <c r="W5" s="19"/>
      <c r="X5" s="19"/>
      <c r="Y5" s="19"/>
      <c r="Z5" s="19"/>
      <c r="AA5" s="19"/>
      <c r="AB5" s="19"/>
      <c r="AC5" s="14"/>
    </row>
    <row r="6" spans="1:41" ht="84.75" customHeight="1">
      <c r="A6" s="74" t="s">
        <v>8</v>
      </c>
      <c r="B6" s="71" t="s">
        <v>45</v>
      </c>
      <c r="C6" s="71" t="s">
        <v>39</v>
      </c>
      <c r="D6" s="58" t="s">
        <v>40</v>
      </c>
      <c r="E6" s="58" t="s">
        <v>41</v>
      </c>
      <c r="F6" s="69" t="s">
        <v>42</v>
      </c>
      <c r="G6" s="71" t="s">
        <v>43</v>
      </c>
      <c r="H6" s="71" t="s">
        <v>44</v>
      </c>
      <c r="I6" s="71" t="s">
        <v>9</v>
      </c>
      <c r="J6" s="53" t="s">
        <v>26</v>
      </c>
      <c r="K6" s="53" t="s">
        <v>53</v>
      </c>
      <c r="L6" s="54" t="s">
        <v>54</v>
      </c>
      <c r="M6" s="54" t="s">
        <v>27</v>
      </c>
      <c r="N6" s="54" t="s">
        <v>28</v>
      </c>
      <c r="O6" s="54" t="s">
        <v>51</v>
      </c>
      <c r="P6" s="54" t="s">
        <v>52</v>
      </c>
      <c r="Q6" s="54" t="s">
        <v>48</v>
      </c>
      <c r="R6" s="54" t="s">
        <v>47</v>
      </c>
      <c r="S6" s="54" t="s">
        <v>50</v>
      </c>
      <c r="T6" s="54" t="s">
        <v>49</v>
      </c>
      <c r="U6" s="58" t="s">
        <v>10</v>
      </c>
      <c r="V6" s="58" t="s">
        <v>11</v>
      </c>
      <c r="W6" s="60" t="s">
        <v>12</v>
      </c>
      <c r="X6" s="62" t="s">
        <v>13</v>
      </c>
      <c r="AD6"/>
    </row>
    <row r="7" spans="1:41" ht="22.5" customHeight="1" thickBot="1">
      <c r="A7" s="75"/>
      <c r="B7" s="72"/>
      <c r="C7" s="72"/>
      <c r="D7" s="59"/>
      <c r="E7" s="59"/>
      <c r="F7" s="70"/>
      <c r="G7" s="72"/>
      <c r="H7" s="72"/>
      <c r="I7" s="72"/>
      <c r="J7" s="55">
        <v>470</v>
      </c>
      <c r="K7" s="55">
        <v>695</v>
      </c>
      <c r="L7" s="55">
        <v>1666</v>
      </c>
      <c r="M7" s="55">
        <v>370</v>
      </c>
      <c r="N7" s="55">
        <v>490</v>
      </c>
      <c r="O7" s="55">
        <v>1100</v>
      </c>
      <c r="P7" s="55">
        <v>650</v>
      </c>
      <c r="Q7" s="55">
        <v>800</v>
      </c>
      <c r="R7" s="55">
        <v>185</v>
      </c>
      <c r="S7" s="55">
        <v>390</v>
      </c>
      <c r="T7" s="55">
        <v>290</v>
      </c>
      <c r="U7" s="59"/>
      <c r="V7" s="59"/>
      <c r="W7" s="61"/>
      <c r="X7" s="63"/>
      <c r="AD7"/>
    </row>
    <row r="8" spans="1:41" ht="42" customHeight="1">
      <c r="A8" s="40">
        <v>1</v>
      </c>
      <c r="B8" s="22" t="s">
        <v>56</v>
      </c>
      <c r="C8" s="56" t="s">
        <v>58</v>
      </c>
      <c r="D8" s="23" t="s">
        <v>59</v>
      </c>
      <c r="E8" s="24" t="s">
        <v>60</v>
      </c>
      <c r="F8" s="22">
        <v>20001023</v>
      </c>
      <c r="G8" s="25" t="s">
        <v>61</v>
      </c>
      <c r="H8" s="57" t="s">
        <v>62</v>
      </c>
      <c r="I8" s="23"/>
      <c r="J8" s="26">
        <v>5</v>
      </c>
      <c r="K8" s="27"/>
      <c r="L8" s="27">
        <v>2</v>
      </c>
      <c r="M8" s="27"/>
      <c r="N8" s="27"/>
      <c r="O8" s="27"/>
      <c r="P8" s="27"/>
      <c r="Q8" s="27"/>
      <c r="R8" s="27"/>
      <c r="S8" s="27"/>
      <c r="T8" s="27">
        <v>1</v>
      </c>
      <c r="U8" s="28">
        <f>1666*L8+650*P8 +470*J8 +290*T8</f>
        <v>5972</v>
      </c>
      <c r="V8" s="28">
        <v>2000</v>
      </c>
      <c r="W8" s="28">
        <f>U8+V8</f>
        <v>7972</v>
      </c>
      <c r="X8" s="41"/>
      <c r="AD8"/>
    </row>
    <row r="9" spans="1:41" ht="25" customHeight="1">
      <c r="A9" s="42" t="s">
        <v>14</v>
      </c>
      <c r="B9" s="7"/>
      <c r="C9" s="29"/>
      <c r="D9" s="30"/>
      <c r="E9" s="31"/>
      <c r="F9" s="7"/>
      <c r="G9" s="32"/>
      <c r="H9" s="33"/>
      <c r="I9" s="7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5">
        <f t="shared" ref="U9:U27" si="0">490*J9+695*K9+1600*L9</f>
        <v>0</v>
      </c>
      <c r="V9" s="35"/>
      <c r="W9" s="35">
        <f t="shared" ref="W9:W17" si="1">U9+V9</f>
        <v>0</v>
      </c>
      <c r="X9" s="43"/>
      <c r="AD9"/>
    </row>
    <row r="10" spans="1:41" ht="25" customHeight="1">
      <c r="A10" s="42" t="s">
        <v>0</v>
      </c>
      <c r="B10" s="7"/>
      <c r="C10" s="36"/>
      <c r="D10" s="30"/>
      <c r="E10" s="7"/>
      <c r="F10" s="7"/>
      <c r="G10" s="32"/>
      <c r="H10" s="33"/>
      <c r="I10" s="6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>
        <f t="shared" si="0"/>
        <v>0</v>
      </c>
      <c r="V10" s="35"/>
      <c r="W10" s="35">
        <f t="shared" si="1"/>
        <v>0</v>
      </c>
      <c r="X10" s="43"/>
      <c r="AD10"/>
    </row>
    <row r="11" spans="1:41" ht="25" customHeight="1">
      <c r="A11" s="42" t="s">
        <v>1</v>
      </c>
      <c r="B11" s="7"/>
      <c r="C11" s="5"/>
      <c r="D11" s="30"/>
      <c r="E11" s="6"/>
      <c r="F11" s="6"/>
      <c r="G11" s="6"/>
      <c r="H11" s="33"/>
      <c r="I11" s="6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>
        <f t="shared" si="0"/>
        <v>0</v>
      </c>
      <c r="V11" s="35"/>
      <c r="W11" s="35">
        <f t="shared" si="1"/>
        <v>0</v>
      </c>
      <c r="X11" s="43"/>
      <c r="AD11"/>
    </row>
    <row r="12" spans="1:41" ht="25" customHeight="1">
      <c r="A12" s="42" t="s">
        <v>2</v>
      </c>
      <c r="B12" s="7"/>
      <c r="C12" s="5"/>
      <c r="D12" s="6"/>
      <c r="E12" s="7"/>
      <c r="F12" s="6"/>
      <c r="G12" s="6"/>
      <c r="H12" s="33"/>
      <c r="I12" s="6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>
        <f t="shared" si="0"/>
        <v>0</v>
      </c>
      <c r="V12" s="35"/>
      <c r="W12" s="35">
        <f t="shared" si="1"/>
        <v>0</v>
      </c>
      <c r="X12" s="43"/>
      <c r="AD12"/>
    </row>
    <row r="13" spans="1:41" ht="25" customHeight="1">
      <c r="A13" s="42" t="s">
        <v>3</v>
      </c>
      <c r="B13" s="34"/>
      <c r="C13" s="4"/>
      <c r="D13" s="3"/>
      <c r="E13" s="3"/>
      <c r="F13" s="3"/>
      <c r="G13" s="37"/>
      <c r="H13" s="38"/>
      <c r="I13" s="39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>
        <f t="shared" si="0"/>
        <v>0</v>
      </c>
      <c r="V13" s="35"/>
      <c r="W13" s="35">
        <f t="shared" si="1"/>
        <v>0</v>
      </c>
      <c r="X13" s="43"/>
      <c r="AD13"/>
    </row>
    <row r="14" spans="1:41" ht="25" customHeight="1">
      <c r="A14" s="42" t="s">
        <v>4</v>
      </c>
      <c r="B14" s="34"/>
      <c r="C14" s="4"/>
      <c r="D14" s="3"/>
      <c r="E14" s="3"/>
      <c r="F14" s="3"/>
      <c r="G14" s="37"/>
      <c r="H14" s="38"/>
      <c r="I14" s="39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>
        <f t="shared" si="0"/>
        <v>0</v>
      </c>
      <c r="V14" s="35"/>
      <c r="W14" s="35">
        <f t="shared" si="1"/>
        <v>0</v>
      </c>
      <c r="X14" s="43"/>
      <c r="AD14"/>
    </row>
    <row r="15" spans="1:41" ht="25" customHeight="1">
      <c r="A15" s="42" t="s">
        <v>5</v>
      </c>
      <c r="B15" s="34"/>
      <c r="C15" s="4"/>
      <c r="D15" s="3"/>
      <c r="E15" s="3"/>
      <c r="F15" s="3"/>
      <c r="G15" s="37"/>
      <c r="H15" s="38"/>
      <c r="I15" s="39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>
        <f t="shared" si="0"/>
        <v>0</v>
      </c>
      <c r="V15" s="35"/>
      <c r="W15" s="35">
        <f t="shared" si="1"/>
        <v>0</v>
      </c>
      <c r="X15" s="43"/>
      <c r="AD15"/>
    </row>
    <row r="16" spans="1:41" ht="25" customHeight="1">
      <c r="A16" s="42" t="s">
        <v>6</v>
      </c>
      <c r="B16" s="34"/>
      <c r="C16" s="4"/>
      <c r="D16" s="3"/>
      <c r="E16" s="3"/>
      <c r="F16" s="3"/>
      <c r="G16" s="37"/>
      <c r="H16" s="38"/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>
        <f t="shared" si="0"/>
        <v>0</v>
      </c>
      <c r="V16" s="35"/>
      <c r="W16" s="35">
        <f t="shared" si="1"/>
        <v>0</v>
      </c>
      <c r="X16" s="43"/>
      <c r="AD16"/>
    </row>
    <row r="17" spans="1:30" ht="25" customHeight="1">
      <c r="A17" s="42" t="s">
        <v>7</v>
      </c>
      <c r="B17" s="34"/>
      <c r="C17" s="4"/>
      <c r="D17" s="3"/>
      <c r="E17" s="3"/>
      <c r="F17" s="3"/>
      <c r="G17" s="37"/>
      <c r="H17" s="38"/>
      <c r="I17" s="3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>
        <f t="shared" si="0"/>
        <v>0</v>
      </c>
      <c r="V17" s="35"/>
      <c r="W17" s="35">
        <f t="shared" si="1"/>
        <v>0</v>
      </c>
      <c r="X17" s="43"/>
      <c r="AD17"/>
    </row>
    <row r="18" spans="1:30" ht="25" customHeight="1">
      <c r="A18" s="42" t="s">
        <v>29</v>
      </c>
      <c r="B18" s="34"/>
      <c r="C18" s="4"/>
      <c r="D18" s="3"/>
      <c r="E18" s="3"/>
      <c r="F18" s="3"/>
      <c r="G18" s="37"/>
      <c r="H18" s="38"/>
      <c r="I18" s="39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>
        <f t="shared" si="0"/>
        <v>0</v>
      </c>
      <c r="V18" s="35"/>
      <c r="W18" s="35">
        <f t="shared" ref="W18:W23" si="2">U18+V18</f>
        <v>0</v>
      </c>
      <c r="X18" s="43"/>
      <c r="AD18"/>
    </row>
    <row r="19" spans="1:30" ht="25" customHeight="1">
      <c r="A19" s="42" t="s">
        <v>30</v>
      </c>
      <c r="B19" s="34"/>
      <c r="C19" s="4"/>
      <c r="D19" s="3"/>
      <c r="E19" s="3"/>
      <c r="F19" s="3"/>
      <c r="G19" s="37"/>
      <c r="H19" s="38"/>
      <c r="I19" s="39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>
        <f t="shared" si="0"/>
        <v>0</v>
      </c>
      <c r="V19" s="35"/>
      <c r="W19" s="35">
        <f t="shared" si="2"/>
        <v>0</v>
      </c>
      <c r="X19" s="43"/>
      <c r="AD19"/>
    </row>
    <row r="20" spans="1:30" ht="25" customHeight="1">
      <c r="A20" s="42" t="s">
        <v>31</v>
      </c>
      <c r="B20" s="34"/>
      <c r="C20" s="4"/>
      <c r="D20" s="3"/>
      <c r="E20" s="3"/>
      <c r="F20" s="3"/>
      <c r="G20" s="37"/>
      <c r="H20" s="38"/>
      <c r="I20" s="39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>
        <f t="shared" si="0"/>
        <v>0</v>
      </c>
      <c r="V20" s="35"/>
      <c r="W20" s="35">
        <f t="shared" si="2"/>
        <v>0</v>
      </c>
      <c r="X20" s="43"/>
      <c r="AD20"/>
    </row>
    <row r="21" spans="1:30" ht="25" customHeight="1">
      <c r="A21" s="42" t="s">
        <v>32</v>
      </c>
      <c r="B21" s="34"/>
      <c r="C21" s="4"/>
      <c r="D21" s="3"/>
      <c r="E21" s="3"/>
      <c r="F21" s="3"/>
      <c r="G21" s="37"/>
      <c r="H21" s="38"/>
      <c r="I21" s="39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>
        <f t="shared" si="0"/>
        <v>0</v>
      </c>
      <c r="V21" s="35"/>
      <c r="W21" s="35">
        <f t="shared" si="2"/>
        <v>0</v>
      </c>
      <c r="X21" s="43"/>
      <c r="AD21"/>
    </row>
    <row r="22" spans="1:30" ht="25" customHeight="1">
      <c r="A22" s="42" t="s">
        <v>33</v>
      </c>
      <c r="B22" s="34"/>
      <c r="C22" s="4"/>
      <c r="D22" s="3"/>
      <c r="E22" s="3"/>
      <c r="F22" s="3"/>
      <c r="G22" s="37"/>
      <c r="H22" s="38"/>
      <c r="I22" s="39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>
        <f t="shared" si="0"/>
        <v>0</v>
      </c>
      <c r="V22" s="35"/>
      <c r="W22" s="35">
        <f t="shared" si="2"/>
        <v>0</v>
      </c>
      <c r="X22" s="43"/>
      <c r="AD22"/>
    </row>
    <row r="23" spans="1:30" ht="25" customHeight="1">
      <c r="A23" s="42" t="s">
        <v>34</v>
      </c>
      <c r="B23" s="34"/>
      <c r="C23" s="4"/>
      <c r="D23" s="3"/>
      <c r="E23" s="3"/>
      <c r="F23" s="3"/>
      <c r="G23" s="37"/>
      <c r="H23" s="38"/>
      <c r="I23" s="39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5">
        <f t="shared" si="0"/>
        <v>0</v>
      </c>
      <c r="V23" s="35"/>
      <c r="W23" s="35">
        <f t="shared" si="2"/>
        <v>0</v>
      </c>
      <c r="X23" s="43"/>
      <c r="AD23"/>
    </row>
    <row r="24" spans="1:30" ht="25" customHeight="1">
      <c r="A24" s="42" t="s">
        <v>35</v>
      </c>
      <c r="B24" s="34"/>
      <c r="C24" s="4"/>
      <c r="D24" s="3"/>
      <c r="E24" s="3"/>
      <c r="F24" s="3"/>
      <c r="G24" s="37"/>
      <c r="H24" s="38"/>
      <c r="I24" s="3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>
        <f t="shared" si="0"/>
        <v>0</v>
      </c>
      <c r="V24" s="35"/>
      <c r="W24" s="35">
        <f t="shared" ref="W24:W27" si="3">U24+V24</f>
        <v>0</v>
      </c>
      <c r="X24" s="43"/>
      <c r="AD24"/>
    </row>
    <row r="25" spans="1:30" ht="25" customHeight="1">
      <c r="A25" s="42" t="s">
        <v>36</v>
      </c>
      <c r="B25" s="34"/>
      <c r="C25" s="4"/>
      <c r="D25" s="3"/>
      <c r="E25" s="3"/>
      <c r="F25" s="3"/>
      <c r="G25" s="37"/>
      <c r="H25" s="38"/>
      <c r="I25" s="39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>
        <f t="shared" si="0"/>
        <v>0</v>
      </c>
      <c r="V25" s="35"/>
      <c r="W25" s="35">
        <f t="shared" si="3"/>
        <v>0</v>
      </c>
      <c r="X25" s="43"/>
      <c r="AD25"/>
    </row>
    <row r="26" spans="1:30" ht="25" customHeight="1">
      <c r="A26" s="42" t="s">
        <v>37</v>
      </c>
      <c r="B26" s="34"/>
      <c r="C26" s="4"/>
      <c r="D26" s="3"/>
      <c r="E26" s="3"/>
      <c r="F26" s="3"/>
      <c r="G26" s="37"/>
      <c r="H26" s="38"/>
      <c r="I26" s="3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>
        <f t="shared" si="0"/>
        <v>0</v>
      </c>
      <c r="V26" s="35"/>
      <c r="W26" s="35">
        <f t="shared" si="3"/>
        <v>0</v>
      </c>
      <c r="X26" s="43"/>
      <c r="AD26"/>
    </row>
    <row r="27" spans="1:30" ht="25" customHeight="1" thickBot="1">
      <c r="A27" s="44" t="s">
        <v>38</v>
      </c>
      <c r="B27" s="45"/>
      <c r="C27" s="46"/>
      <c r="D27" s="47"/>
      <c r="E27" s="47"/>
      <c r="F27" s="47"/>
      <c r="G27" s="48"/>
      <c r="H27" s="49"/>
      <c r="I27" s="50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51">
        <f t="shared" si="0"/>
        <v>0</v>
      </c>
      <c r="V27" s="51"/>
      <c r="W27" s="51">
        <f t="shared" si="3"/>
        <v>0</v>
      </c>
      <c r="X27" s="52"/>
      <c r="AD27"/>
    </row>
  </sheetData>
  <mergeCells count="17">
    <mergeCell ref="E6:E7"/>
    <mergeCell ref="V6:V7"/>
    <mergeCell ref="W6:W7"/>
    <mergeCell ref="X6:X7"/>
    <mergeCell ref="A1:D1"/>
    <mergeCell ref="B3:J3"/>
    <mergeCell ref="C2:L2"/>
    <mergeCell ref="U6:U7"/>
    <mergeCell ref="F6:F7"/>
    <mergeCell ref="G6:G7"/>
    <mergeCell ref="H6:H7"/>
    <mergeCell ref="I6:I7"/>
    <mergeCell ref="A5:H5"/>
    <mergeCell ref="A6:A7"/>
    <mergeCell ref="B6:B7"/>
    <mergeCell ref="C6:C7"/>
    <mergeCell ref="D6:D7"/>
  </mergeCells>
  <phoneticPr fontId="1" type="noConversion"/>
  <hyperlinks>
    <hyperlink ref="H8" r:id="rId1" xr:uid="{C6CEC1CA-087F-406A-B7A5-D8E1541030DE}"/>
  </hyperlinks>
  <pageMargins left="0.31496062992125984" right="0.31496062992125984" top="0.74803149606299213" bottom="0.74803149606299213" header="0.31496062992125984" footer="0.31496062992125984"/>
  <pageSetup paperSize="8" scale="46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45308F-187C-474E-8CA5-6285208437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79021A-52E0-47E7-8FE7-7DD3C3234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BBB370E-F54F-482F-92A8-E141606C8228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報名注意事項</vt:lpstr>
      <vt:lpstr>富邦證券國內報名表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黃立言</dc:creator>
  <cp:lastModifiedBy>梁溢彥</cp:lastModifiedBy>
  <cp:lastPrinted>2026-01-19T08:41:36Z</cp:lastPrinted>
  <dcterms:created xsi:type="dcterms:W3CDTF">2020-09-29T00:49:16Z</dcterms:created>
  <dcterms:modified xsi:type="dcterms:W3CDTF">2026-05-18T08:16:56Z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bd3ca4-59a6-410d-ba5b-98e306109a39_Enabled">
    <vt:lpwstr>true</vt:lpwstr>
  </property>
  <property fmtid="{D5CDD505-2E9C-101B-9397-08002B2CF9AE}" pid="3" name="MSIP_Label_1cbd3ca4-59a6-410d-ba5b-98e306109a39_SetDate">
    <vt:lpwstr>2026-05-12T10:55:25Z</vt:lpwstr>
  </property>
  <property fmtid="{D5CDD505-2E9C-101B-9397-08002B2CF9AE}" pid="4" name="MSIP_Label_1cbd3ca4-59a6-410d-ba5b-98e306109a39_Method">
    <vt:lpwstr>Standard</vt:lpwstr>
  </property>
  <property fmtid="{D5CDD505-2E9C-101B-9397-08002B2CF9AE}" pid="5" name="MSIP_Label_1cbd3ca4-59a6-410d-ba5b-98e306109a39_Name">
    <vt:lpwstr>一般使用</vt:lpwstr>
  </property>
  <property fmtid="{D5CDD505-2E9C-101B-9397-08002B2CF9AE}" pid="6" name="MSIP_Label_1cbd3ca4-59a6-410d-ba5b-98e306109a39_SiteId">
    <vt:lpwstr>911b2369-1105-4da8-ac47-cd9e1a690d42</vt:lpwstr>
  </property>
  <property fmtid="{D5CDD505-2E9C-101B-9397-08002B2CF9AE}" pid="7" name="MSIP_Label_1cbd3ca4-59a6-410d-ba5b-98e306109a39_ActionId">
    <vt:lpwstr>d767c87b-7af1-4708-938f-915d68a6d209</vt:lpwstr>
  </property>
  <property fmtid="{D5CDD505-2E9C-101B-9397-08002B2CF9AE}" pid="8" name="MSIP_Label_1cbd3ca4-59a6-410d-ba5b-98e306109a39_ContentBits">
    <vt:lpwstr>0</vt:lpwstr>
  </property>
  <property fmtid="{D5CDD505-2E9C-101B-9397-08002B2CF9AE}" pid="9" name="MSIP_Label_1cbd3ca4-59a6-410d-ba5b-98e306109a39_Tag">
    <vt:lpwstr>10, 3, 0, 1</vt:lpwstr>
  </property>
</Properties>
</file>